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khoj_nso\Articles\Adult mortality\"/>
    </mc:Choice>
  </mc:AlternateContent>
  <xr:revisionPtr revIDLastSave="0" documentId="13_ncr:1_{77E43007-FC8B-429F-9A29-C585AA07A8A0}" xr6:coauthVersionLast="47" xr6:coauthVersionMax="47" xr10:uidLastSave="{00000000-0000-0000-0000-000000000000}"/>
  <bookViews>
    <workbookView xWindow="28680" yWindow="-90" windowWidth="29040" windowHeight="15720" xr2:uid="{00000000-000D-0000-FFFF-FFFF00000000}"/>
  </bookViews>
  <sheets>
    <sheet name="Migration Data" sheetId="1" r:id="rId1"/>
  </sheets>
  <calcPr calcId="191029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2" i="1"/>
</calcChain>
</file>

<file path=xl/sharedStrings.xml><?xml version="1.0" encoding="utf-8"?>
<sst xmlns="http://schemas.openxmlformats.org/spreadsheetml/2006/main" count="164" uniqueCount="90">
  <si>
    <t>Taplejung</t>
  </si>
  <si>
    <t>Sankhuwasabha</t>
  </si>
  <si>
    <t>Solukhumbu</t>
  </si>
  <si>
    <t>Okhaldhunga</t>
  </si>
  <si>
    <t>Khotang</t>
  </si>
  <si>
    <t>Bhojpur</t>
  </si>
  <si>
    <t>Dhankuta</t>
  </si>
  <si>
    <t>Panchthar</t>
  </si>
  <si>
    <t>Ilam</t>
  </si>
  <si>
    <t>Jhapa</t>
  </si>
  <si>
    <t>Morang</t>
  </si>
  <si>
    <t>Sunsari</t>
  </si>
  <si>
    <t>Udayapur</t>
  </si>
  <si>
    <t>Saptari</t>
  </si>
  <si>
    <t>Siraha</t>
  </si>
  <si>
    <t>Dhanusa</t>
  </si>
  <si>
    <t>Mahottari</t>
  </si>
  <si>
    <t>Sarlahi</t>
  </si>
  <si>
    <t>Rautahat</t>
  </si>
  <si>
    <t>Bara</t>
  </si>
  <si>
    <t>Parsa</t>
  </si>
  <si>
    <t>Dolakha</t>
  </si>
  <si>
    <t>Sindhupalchok</t>
  </si>
  <si>
    <t>Rasuwa</t>
  </si>
  <si>
    <t>Dhading</t>
  </si>
  <si>
    <t>Nuwakot</t>
  </si>
  <si>
    <t>Kathmandu</t>
  </si>
  <si>
    <t>Bhaktapur</t>
  </si>
  <si>
    <t>Lalitpur</t>
  </si>
  <si>
    <t>Kavrepalanchok</t>
  </si>
  <si>
    <t>Sindhuli</t>
  </si>
  <si>
    <t>Makwanpur</t>
  </si>
  <si>
    <t>Chitawan</t>
  </si>
  <si>
    <t>Gorkha</t>
  </si>
  <si>
    <t>Manang</t>
  </si>
  <si>
    <t>Mustang</t>
  </si>
  <si>
    <t>Myagdi</t>
  </si>
  <si>
    <t>Kaski</t>
  </si>
  <si>
    <t>Lamjung</t>
  </si>
  <si>
    <t>Tanahu</t>
  </si>
  <si>
    <t>Nawalparasi (East)</t>
  </si>
  <si>
    <t>Syangja</t>
  </si>
  <si>
    <t>Parbat</t>
  </si>
  <si>
    <t>Baglung</t>
  </si>
  <si>
    <t>Rukum (East)</t>
  </si>
  <si>
    <t>Rolpa</t>
  </si>
  <si>
    <t>Pyuthan</t>
  </si>
  <si>
    <t>Gulmi</t>
  </si>
  <si>
    <t>Arghakhanchi</t>
  </si>
  <si>
    <t>Palpa</t>
  </si>
  <si>
    <t>Nawalparasi (West)</t>
  </si>
  <si>
    <t>Rupandehi</t>
  </si>
  <si>
    <t>Kapilbastu</t>
  </si>
  <si>
    <t>Humla</t>
  </si>
  <si>
    <t>Jumla</t>
  </si>
  <si>
    <t>Kalikot</t>
  </si>
  <si>
    <t>Dailekh</t>
  </si>
  <si>
    <t>Jajarkot</t>
  </si>
  <si>
    <t>Rukum (West)</t>
  </si>
  <si>
    <t>Salyan</t>
  </si>
  <si>
    <t>Surkhet</t>
  </si>
  <si>
    <t>Mugu</t>
  </si>
  <si>
    <t>Dolpa</t>
  </si>
  <si>
    <t>Bajura</t>
  </si>
  <si>
    <t>Achham</t>
  </si>
  <si>
    <t>Bajhang</t>
  </si>
  <si>
    <t>Darchula</t>
  </si>
  <si>
    <t>Baitadi</t>
  </si>
  <si>
    <t>Dadeldhura</t>
  </si>
  <si>
    <t>Doti</t>
  </si>
  <si>
    <t>Kailali</t>
  </si>
  <si>
    <t>Kanchanpur</t>
  </si>
  <si>
    <t>Bardiya</t>
  </si>
  <si>
    <t>Banke</t>
  </si>
  <si>
    <t>Ramechhap</t>
  </si>
  <si>
    <t>Dang</t>
  </si>
  <si>
    <t>native_pop</t>
  </si>
  <si>
    <t>in-mig</t>
  </si>
  <si>
    <t>in-mig-rate</t>
  </si>
  <si>
    <t>out-mig</t>
  </si>
  <si>
    <t>out-mig-rate</t>
  </si>
  <si>
    <t>net-mig</t>
  </si>
  <si>
    <t>net-mig-rate</t>
  </si>
  <si>
    <t>absentee_abroad</t>
  </si>
  <si>
    <t>dname_connect</t>
  </si>
  <si>
    <t>dname_nso</t>
  </si>
  <si>
    <t>Terhathum</t>
  </si>
  <si>
    <t>Nawalparasi (Bardaghat Susta East)</t>
  </si>
  <si>
    <t>Nawalparasi (Bardaghat Susta West)</t>
  </si>
  <si>
    <t>Tehrathum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</si>
</sst>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8"/>
  <sheetViews>
    <sheetView tabSelected="1" zoomScale="85" zoomScaleNormal="85" workbookViewId="0">
      <selection activeCell="H3" sqref="H3"/>
    </sheetView>
  </sheetViews>
  <sheetFormatPr defaultRowHeight="14.4" x14ac:dyDescent="0.3"/>
  <cols>
    <col min="1" max="1" width="19.33203125" bestFit="1" customWidth="1"/>
    <col min="2" max="2" width="27.77734375" bestFit="1" customWidth="1"/>
    <col min="3" max="3" width="11.33203125" bestFit="1" customWidth="1"/>
    <col min="4" max="4" width="16.5546875" bestFit="1" customWidth="1"/>
    <col min="5" max="5" width="12.44140625" bestFit="1" customWidth="1"/>
    <col min="6" max="6" width="17.88671875" bestFit="1" customWidth="1"/>
    <col min="7" max="7" width="13.77734375" bestFit="1" customWidth="1"/>
    <col min="8" max="8" width="17.88671875" bestFit="1" customWidth="1"/>
    <col min="9" max="9" width="16.6640625" bestFit="1" customWidth="1"/>
    <col min="10" max="10" width="19.33203125" bestFit="1" customWidth="1"/>
  </cols>
  <sheetData>
    <row r="1" spans="1:10" x14ac:dyDescent="0.3">
      <c r="A1" s="1" t="s">
        <v>84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2" t="s">
        <v>85</v>
      </c>
    </row>
    <row r="2" spans="1:10" x14ac:dyDescent="0.3">
      <c r="A2" s="1" t="s">
        <v>0</v>
      </c>
      <c r="B2" s="1">
        <v>118896</v>
      </c>
      <c r="C2" s="1">
        <v>1688</v>
      </c>
      <c r="D2" s="3">
        <f>(C2/B2)*100</f>
        <v>1.4197281657919527</v>
      </c>
      <c r="E2" s="1">
        <v>20584</v>
      </c>
      <c r="F2" s="3">
        <f>(E2/B2)*100</f>
        <v>17.312609339254475</v>
      </c>
      <c r="G2" s="1">
        <f>C2-E2</f>
        <v>-18896</v>
      </c>
      <c r="H2" s="3">
        <f>(G2/B2)*1000</f>
        <v>-158.92881173462521</v>
      </c>
      <c r="I2" s="1">
        <v>6237</v>
      </c>
      <c r="J2" s="1" t="s">
        <v>0</v>
      </c>
    </row>
    <row r="3" spans="1:10" x14ac:dyDescent="0.3">
      <c r="A3" s="1" t="s">
        <v>1</v>
      </c>
      <c r="B3" s="1">
        <v>153783</v>
      </c>
      <c r="C3" s="1">
        <v>3257</v>
      </c>
      <c r="D3" s="3">
        <f t="shared" ref="D3:D66" si="0">(C3/B3)*100</f>
        <v>2.1179194059161284</v>
      </c>
      <c r="E3" s="1">
        <v>14937</v>
      </c>
      <c r="F3" s="3">
        <f t="shared" ref="F3:F66" si="1">(E3/B3)*100</f>
        <v>9.7130372017713267</v>
      </c>
      <c r="G3" s="1">
        <f t="shared" ref="G3:G66" si="2">C3-E3</f>
        <v>-11680</v>
      </c>
      <c r="H3" s="3">
        <f t="shared" ref="H3:H66" si="3">(G3/B3)*1000</f>
        <v>-75.95117795855198</v>
      </c>
      <c r="I3" s="1">
        <v>7904</v>
      </c>
      <c r="J3" s="1" t="s">
        <v>1</v>
      </c>
    </row>
    <row r="4" spans="1:10" x14ac:dyDescent="0.3">
      <c r="A4" s="1" t="s">
        <v>2</v>
      </c>
      <c r="B4" s="1">
        <v>102826</v>
      </c>
      <c r="C4" s="1">
        <v>1606</v>
      </c>
      <c r="D4" s="3">
        <f t="shared" si="0"/>
        <v>1.5618617859296287</v>
      </c>
      <c r="E4" s="1">
        <v>9304</v>
      </c>
      <c r="F4" s="3">
        <f t="shared" si="1"/>
        <v>9.0482951782623076</v>
      </c>
      <c r="G4" s="1">
        <f t="shared" si="2"/>
        <v>-7698</v>
      </c>
      <c r="H4" s="3">
        <f t="shared" si="3"/>
        <v>-74.864333923326782</v>
      </c>
      <c r="I4" s="1">
        <v>4948</v>
      </c>
      <c r="J4" s="1" t="s">
        <v>2</v>
      </c>
    </row>
    <row r="5" spans="1:10" x14ac:dyDescent="0.3">
      <c r="A5" s="1" t="s">
        <v>3</v>
      </c>
      <c r="B5" s="1">
        <v>138802</v>
      </c>
      <c r="C5" s="1">
        <v>1660</v>
      </c>
      <c r="D5" s="3">
        <f t="shared" si="0"/>
        <v>1.1959481851846514</v>
      </c>
      <c r="E5" s="1">
        <v>15572</v>
      </c>
      <c r="F5" s="3">
        <f t="shared" si="1"/>
        <v>11.218858517888791</v>
      </c>
      <c r="G5" s="1">
        <f t="shared" si="2"/>
        <v>-13912</v>
      </c>
      <c r="H5" s="3">
        <f t="shared" si="3"/>
        <v>-100.2291033270414</v>
      </c>
      <c r="I5" s="1">
        <v>7449</v>
      </c>
      <c r="J5" s="1" t="s">
        <v>3</v>
      </c>
    </row>
    <row r="6" spans="1:10" x14ac:dyDescent="0.3">
      <c r="A6" s="1" t="s">
        <v>4</v>
      </c>
      <c r="B6" s="1">
        <v>173656</v>
      </c>
      <c r="C6" s="1">
        <v>2522</v>
      </c>
      <c r="D6" s="3">
        <f t="shared" si="0"/>
        <v>1.4522964942184549</v>
      </c>
      <c r="E6" s="1">
        <v>29489</v>
      </c>
      <c r="F6" s="3">
        <f t="shared" si="1"/>
        <v>16.981273321969873</v>
      </c>
      <c r="G6" s="1">
        <f t="shared" si="2"/>
        <v>-26967</v>
      </c>
      <c r="H6" s="3">
        <f t="shared" si="3"/>
        <v>-155.28976827751418</v>
      </c>
      <c r="I6" s="1">
        <v>11207</v>
      </c>
      <c r="J6" s="1" t="s">
        <v>4</v>
      </c>
    </row>
    <row r="7" spans="1:10" x14ac:dyDescent="0.3">
      <c r="A7" s="1" t="s">
        <v>5</v>
      </c>
      <c r="B7" s="1">
        <v>156098</v>
      </c>
      <c r="C7" s="1">
        <v>3251</v>
      </c>
      <c r="D7" s="3">
        <f t="shared" si="0"/>
        <v>2.0826660175018259</v>
      </c>
      <c r="E7" s="1">
        <v>23096</v>
      </c>
      <c r="F7" s="3">
        <f t="shared" si="1"/>
        <v>14.795833386718598</v>
      </c>
      <c r="G7" s="1">
        <f t="shared" si="2"/>
        <v>-19845</v>
      </c>
      <c r="H7" s="3">
        <f t="shared" si="3"/>
        <v>-127.13167369216774</v>
      </c>
      <c r="I7" s="1">
        <v>9109</v>
      </c>
      <c r="J7" s="1" t="s">
        <v>5</v>
      </c>
    </row>
    <row r="8" spans="1:10" x14ac:dyDescent="0.3">
      <c r="A8" s="1" t="s">
        <v>6</v>
      </c>
      <c r="B8" s="1">
        <v>147729</v>
      </c>
      <c r="C8" s="1">
        <v>6249</v>
      </c>
      <c r="D8" s="3">
        <f t="shared" si="0"/>
        <v>4.2300428487297692</v>
      </c>
      <c r="E8" s="1">
        <v>15181</v>
      </c>
      <c r="F8" s="3">
        <f t="shared" si="1"/>
        <v>10.27624907770309</v>
      </c>
      <c r="G8" s="1">
        <f t="shared" si="2"/>
        <v>-8932</v>
      </c>
      <c r="H8" s="3">
        <f t="shared" si="3"/>
        <v>-60.462062289733225</v>
      </c>
      <c r="I8" s="1">
        <v>9592</v>
      </c>
      <c r="J8" s="1" t="s">
        <v>6</v>
      </c>
    </row>
    <row r="9" spans="1:10" x14ac:dyDescent="0.3">
      <c r="A9" s="1" t="s">
        <v>89</v>
      </c>
      <c r="B9" s="1">
        <v>87767</v>
      </c>
      <c r="C9" s="1">
        <v>3313</v>
      </c>
      <c r="D9" s="3">
        <f t="shared" si="0"/>
        <v>3.7747672815522915</v>
      </c>
      <c r="E9" s="1">
        <v>12350</v>
      </c>
      <c r="F9" s="3">
        <f t="shared" si="1"/>
        <v>14.071348000957078</v>
      </c>
      <c r="G9" s="1">
        <f t="shared" si="2"/>
        <v>-9037</v>
      </c>
      <c r="H9" s="3">
        <f t="shared" si="3"/>
        <v>-102.96580719404788</v>
      </c>
      <c r="I9" s="1">
        <v>5772</v>
      </c>
      <c r="J9" s="1" t="s">
        <v>86</v>
      </c>
    </row>
    <row r="10" spans="1:10" x14ac:dyDescent="0.3">
      <c r="A10" s="1" t="s">
        <v>7</v>
      </c>
      <c r="B10" s="1">
        <v>170179</v>
      </c>
      <c r="C10" s="1">
        <v>4136</v>
      </c>
      <c r="D10" s="3">
        <f t="shared" si="0"/>
        <v>2.4303821270544543</v>
      </c>
      <c r="E10" s="1">
        <v>20447</v>
      </c>
      <c r="F10" s="3">
        <f t="shared" si="1"/>
        <v>12.014995974826506</v>
      </c>
      <c r="G10" s="1">
        <f t="shared" si="2"/>
        <v>-16311</v>
      </c>
      <c r="H10" s="3">
        <f t="shared" si="3"/>
        <v>-95.846138477720515</v>
      </c>
      <c r="I10" s="1">
        <v>11701</v>
      </c>
      <c r="J10" s="1" t="s">
        <v>7</v>
      </c>
    </row>
    <row r="11" spans="1:10" x14ac:dyDescent="0.3">
      <c r="A11" s="1" t="s">
        <v>8</v>
      </c>
      <c r="B11" s="1">
        <v>274440</v>
      </c>
      <c r="C11" s="1">
        <v>8120</v>
      </c>
      <c r="D11" s="3">
        <f t="shared" si="0"/>
        <v>2.9587523684594084</v>
      </c>
      <c r="E11" s="1">
        <v>19371</v>
      </c>
      <c r="F11" s="3">
        <f t="shared" si="1"/>
        <v>7.0583734149540884</v>
      </c>
      <c r="G11" s="1">
        <f t="shared" si="2"/>
        <v>-11251</v>
      </c>
      <c r="H11" s="3">
        <f t="shared" si="3"/>
        <v>-40.996210464946799</v>
      </c>
      <c r="I11" s="1">
        <v>18845</v>
      </c>
      <c r="J11" s="1" t="s">
        <v>8</v>
      </c>
    </row>
    <row r="12" spans="1:10" x14ac:dyDescent="0.3">
      <c r="A12" s="1" t="s">
        <v>9</v>
      </c>
      <c r="B12" s="1">
        <v>940117</v>
      </c>
      <c r="C12" s="1">
        <v>57971</v>
      </c>
      <c r="D12" s="3">
        <f t="shared" si="0"/>
        <v>6.1663601445352016</v>
      </c>
      <c r="E12" s="1">
        <v>24239</v>
      </c>
      <c r="F12" s="3">
        <f t="shared" si="1"/>
        <v>2.5782961056974822</v>
      </c>
      <c r="G12" s="1">
        <f t="shared" si="2"/>
        <v>33732</v>
      </c>
      <c r="H12" s="3">
        <f t="shared" si="3"/>
        <v>35.880640388377188</v>
      </c>
      <c r="I12" s="1">
        <v>91314</v>
      </c>
      <c r="J12" s="1" t="s">
        <v>9</v>
      </c>
    </row>
    <row r="13" spans="1:10" x14ac:dyDescent="0.3">
      <c r="A13" s="1" t="s">
        <v>10</v>
      </c>
      <c r="B13" s="1">
        <v>1094927</v>
      </c>
      <c r="C13" s="1">
        <v>55934</v>
      </c>
      <c r="D13" s="3">
        <f t="shared" si="0"/>
        <v>5.1084684184425075</v>
      </c>
      <c r="E13" s="1">
        <v>32305</v>
      </c>
      <c r="F13" s="3">
        <f t="shared" si="1"/>
        <v>2.95042500550265</v>
      </c>
      <c r="G13" s="1">
        <f t="shared" si="2"/>
        <v>23629</v>
      </c>
      <c r="H13" s="3">
        <f t="shared" si="3"/>
        <v>21.580434129398583</v>
      </c>
      <c r="I13" s="1">
        <v>75868</v>
      </c>
      <c r="J13" s="1" t="s">
        <v>10</v>
      </c>
    </row>
    <row r="14" spans="1:10" x14ac:dyDescent="0.3">
      <c r="A14" s="1" t="s">
        <v>11</v>
      </c>
      <c r="B14" s="1">
        <v>889919</v>
      </c>
      <c r="C14" s="1">
        <v>52147</v>
      </c>
      <c r="D14" s="3">
        <f t="shared" si="0"/>
        <v>5.8597467859434396</v>
      </c>
      <c r="E14" s="1">
        <v>25213</v>
      </c>
      <c r="F14" s="3">
        <f t="shared" si="1"/>
        <v>2.8331791994552313</v>
      </c>
      <c r="G14" s="1">
        <f t="shared" si="2"/>
        <v>26934</v>
      </c>
      <c r="H14" s="3">
        <f t="shared" si="3"/>
        <v>30.265675864882084</v>
      </c>
      <c r="I14" s="1">
        <v>62071</v>
      </c>
      <c r="J14" s="1" t="s">
        <v>11</v>
      </c>
    </row>
    <row r="15" spans="1:10" x14ac:dyDescent="0.3">
      <c r="A15" s="1" t="s">
        <v>12</v>
      </c>
      <c r="B15" s="1">
        <v>337193</v>
      </c>
      <c r="C15" s="1">
        <v>13169</v>
      </c>
      <c r="D15" s="3">
        <f t="shared" si="0"/>
        <v>3.9054784648554386</v>
      </c>
      <c r="E15" s="1">
        <v>20533</v>
      </c>
      <c r="F15" s="3">
        <f t="shared" si="1"/>
        <v>6.0893909422793477</v>
      </c>
      <c r="G15" s="1">
        <f t="shared" si="2"/>
        <v>-7364</v>
      </c>
      <c r="H15" s="3">
        <f t="shared" si="3"/>
        <v>-21.839124774239085</v>
      </c>
      <c r="I15" s="1">
        <v>21017</v>
      </c>
      <c r="J15" s="1" t="s">
        <v>12</v>
      </c>
    </row>
    <row r="16" spans="1:10" x14ac:dyDescent="0.3">
      <c r="A16" s="1" t="s">
        <v>13</v>
      </c>
      <c r="B16" s="1">
        <v>679888</v>
      </c>
      <c r="C16" s="1">
        <v>6584</v>
      </c>
      <c r="D16" s="3">
        <f t="shared" si="0"/>
        <v>0.96839479443673082</v>
      </c>
      <c r="E16" s="1">
        <v>16950</v>
      </c>
      <c r="F16" s="3">
        <f t="shared" si="1"/>
        <v>2.4930576800884849</v>
      </c>
      <c r="G16" s="1">
        <f t="shared" si="2"/>
        <v>-10366</v>
      </c>
      <c r="H16" s="3">
        <f t="shared" si="3"/>
        <v>-15.246628856517544</v>
      </c>
      <c r="I16" s="1">
        <v>33510</v>
      </c>
      <c r="J16" s="1" t="s">
        <v>13</v>
      </c>
    </row>
    <row r="17" spans="1:10" x14ac:dyDescent="0.3">
      <c r="A17" s="1" t="s">
        <v>14</v>
      </c>
      <c r="B17" s="1">
        <v>717252</v>
      </c>
      <c r="C17" s="1">
        <v>8380</v>
      </c>
      <c r="D17" s="3">
        <f t="shared" si="0"/>
        <v>1.1683480840764473</v>
      </c>
      <c r="E17" s="1">
        <v>14836</v>
      </c>
      <c r="F17" s="3">
        <f t="shared" si="1"/>
        <v>2.0684501402575384</v>
      </c>
      <c r="G17" s="1">
        <f t="shared" si="2"/>
        <v>-6456</v>
      </c>
      <c r="H17" s="3">
        <f t="shared" si="3"/>
        <v>-9.0010205618109129</v>
      </c>
      <c r="I17" s="1">
        <v>56491</v>
      </c>
      <c r="J17" s="1" t="s">
        <v>14</v>
      </c>
    </row>
    <row r="18" spans="1:10" x14ac:dyDescent="0.3">
      <c r="A18" s="1" t="s">
        <v>15</v>
      </c>
      <c r="B18" s="1">
        <v>832800</v>
      </c>
      <c r="C18" s="1">
        <v>15141</v>
      </c>
      <c r="D18" s="3">
        <f t="shared" si="0"/>
        <v>1.8180835734870318</v>
      </c>
      <c r="E18" s="1">
        <v>17880</v>
      </c>
      <c r="F18" s="3">
        <f t="shared" si="1"/>
        <v>2.1469740634005761</v>
      </c>
      <c r="G18" s="1">
        <f t="shared" si="2"/>
        <v>-2739</v>
      </c>
      <c r="H18" s="3">
        <f t="shared" si="3"/>
        <v>-3.2889048991354466</v>
      </c>
      <c r="I18" s="1">
        <v>73688</v>
      </c>
      <c r="J18" s="1" t="s">
        <v>15</v>
      </c>
    </row>
    <row r="19" spans="1:10" x14ac:dyDescent="0.3">
      <c r="A19" s="1" t="s">
        <v>16</v>
      </c>
      <c r="B19" s="1">
        <v>676353</v>
      </c>
      <c r="C19" s="1">
        <v>10465</v>
      </c>
      <c r="D19" s="3">
        <f t="shared" si="0"/>
        <v>1.5472689557080401</v>
      </c>
      <c r="E19" s="1">
        <v>16251</v>
      </c>
      <c r="F19" s="3">
        <f t="shared" si="1"/>
        <v>2.4027393979179514</v>
      </c>
      <c r="G19" s="1">
        <f t="shared" si="2"/>
        <v>-5786</v>
      </c>
      <c r="H19" s="3">
        <f t="shared" si="3"/>
        <v>-8.5547044220991104</v>
      </c>
      <c r="I19" s="1">
        <v>52674</v>
      </c>
      <c r="J19" s="1" t="s">
        <v>16</v>
      </c>
    </row>
    <row r="20" spans="1:10" x14ac:dyDescent="0.3">
      <c r="A20" s="1" t="s">
        <v>17</v>
      </c>
      <c r="B20" s="1">
        <v>833083</v>
      </c>
      <c r="C20" s="1">
        <v>11084</v>
      </c>
      <c r="D20" s="3">
        <f t="shared" si="0"/>
        <v>1.3304796760946989</v>
      </c>
      <c r="E20" s="1">
        <v>23408</v>
      </c>
      <c r="F20" s="3">
        <f t="shared" si="1"/>
        <v>2.8098040651411682</v>
      </c>
      <c r="G20" s="1">
        <f t="shared" si="2"/>
        <v>-12324</v>
      </c>
      <c r="H20" s="3">
        <f t="shared" si="3"/>
        <v>-14.793243890464696</v>
      </c>
      <c r="I20" s="1">
        <v>35084</v>
      </c>
      <c r="J20" s="1" t="s">
        <v>17</v>
      </c>
    </row>
    <row r="21" spans="1:10" x14ac:dyDescent="0.3">
      <c r="A21" s="1" t="s">
        <v>18</v>
      </c>
      <c r="B21" s="1">
        <v>786529</v>
      </c>
      <c r="C21" s="1">
        <v>8120</v>
      </c>
      <c r="D21" s="3">
        <f t="shared" si="0"/>
        <v>1.0323840570404907</v>
      </c>
      <c r="E21" s="1">
        <v>18308</v>
      </c>
      <c r="F21" s="3">
        <f t="shared" si="1"/>
        <v>2.3276954823026235</v>
      </c>
      <c r="G21" s="1">
        <f t="shared" si="2"/>
        <v>-10188</v>
      </c>
      <c r="H21" s="3">
        <f t="shared" si="3"/>
        <v>-12.953114252621326</v>
      </c>
      <c r="I21" s="1">
        <v>23892</v>
      </c>
      <c r="J21" s="1" t="s">
        <v>18</v>
      </c>
    </row>
    <row r="22" spans="1:10" x14ac:dyDescent="0.3">
      <c r="A22" s="1" t="s">
        <v>19</v>
      </c>
      <c r="B22" s="1">
        <v>731024</v>
      </c>
      <c r="C22" s="1">
        <v>10923</v>
      </c>
      <c r="D22" s="3">
        <f t="shared" si="0"/>
        <v>1.4942053886055724</v>
      </c>
      <c r="E22" s="1">
        <v>23216</v>
      </c>
      <c r="F22" s="3">
        <f t="shared" si="1"/>
        <v>3.1758191249534899</v>
      </c>
      <c r="G22" s="1">
        <f t="shared" si="2"/>
        <v>-12293</v>
      </c>
      <c r="H22" s="3">
        <f t="shared" si="3"/>
        <v>-16.816137363479175</v>
      </c>
      <c r="I22" s="1">
        <v>17357</v>
      </c>
      <c r="J22" s="1" t="s">
        <v>19</v>
      </c>
    </row>
    <row r="23" spans="1:10" x14ac:dyDescent="0.3">
      <c r="A23" s="1" t="s">
        <v>20</v>
      </c>
      <c r="B23" s="1">
        <v>607195</v>
      </c>
      <c r="C23" s="1">
        <v>11214</v>
      </c>
      <c r="D23" s="3">
        <f t="shared" si="0"/>
        <v>1.846853152611599</v>
      </c>
      <c r="E23" s="1">
        <v>14967</v>
      </c>
      <c r="F23" s="3">
        <f t="shared" si="1"/>
        <v>2.464941246222383</v>
      </c>
      <c r="G23" s="1">
        <f t="shared" si="2"/>
        <v>-3753</v>
      </c>
      <c r="H23" s="3">
        <f t="shared" si="3"/>
        <v>-6.1808809361078403</v>
      </c>
      <c r="I23" s="1">
        <v>11590</v>
      </c>
      <c r="J23" s="1" t="s">
        <v>20</v>
      </c>
    </row>
    <row r="24" spans="1:10" x14ac:dyDescent="0.3">
      <c r="A24" s="1" t="s">
        <v>21</v>
      </c>
      <c r="B24" s="1">
        <v>170719</v>
      </c>
      <c r="C24" s="1">
        <v>3837</v>
      </c>
      <c r="D24" s="3">
        <f t="shared" si="0"/>
        <v>2.2475529964444498</v>
      </c>
      <c r="E24" s="1">
        <v>17159</v>
      </c>
      <c r="F24" s="3">
        <f t="shared" si="1"/>
        <v>10.051019511595078</v>
      </c>
      <c r="G24" s="1">
        <f t="shared" si="2"/>
        <v>-13322</v>
      </c>
      <c r="H24" s="3">
        <f t="shared" si="3"/>
        <v>-78.034665151506289</v>
      </c>
      <c r="I24" s="1">
        <v>9100</v>
      </c>
      <c r="J24" s="1" t="s">
        <v>21</v>
      </c>
    </row>
    <row r="25" spans="1:10" x14ac:dyDescent="0.3">
      <c r="A25" s="1" t="s">
        <v>22</v>
      </c>
      <c r="B25" s="1">
        <v>259365</v>
      </c>
      <c r="C25" s="1">
        <v>4452</v>
      </c>
      <c r="D25" s="3">
        <f t="shared" si="0"/>
        <v>1.7164999132496674</v>
      </c>
      <c r="E25" s="1">
        <v>25359</v>
      </c>
      <c r="F25" s="3">
        <f t="shared" si="1"/>
        <v>9.7773408131397836</v>
      </c>
      <c r="G25" s="1">
        <f t="shared" si="2"/>
        <v>-20907</v>
      </c>
      <c r="H25" s="3">
        <f t="shared" si="3"/>
        <v>-80.608408998901169</v>
      </c>
      <c r="I25" s="1">
        <v>17532</v>
      </c>
      <c r="J25" s="1" t="s">
        <v>22</v>
      </c>
    </row>
    <row r="26" spans="1:10" x14ac:dyDescent="0.3">
      <c r="A26" s="1" t="s">
        <v>23</v>
      </c>
      <c r="B26" s="1">
        <v>45396</v>
      </c>
      <c r="C26" s="1">
        <v>773</v>
      </c>
      <c r="D26" s="3">
        <f t="shared" si="0"/>
        <v>1.7027931976385584</v>
      </c>
      <c r="E26" s="1">
        <v>3399</v>
      </c>
      <c r="F26" s="3">
        <f t="shared" si="1"/>
        <v>7.4874438276500133</v>
      </c>
      <c r="G26" s="1">
        <f t="shared" si="2"/>
        <v>-2626</v>
      </c>
      <c r="H26" s="3">
        <f t="shared" si="3"/>
        <v>-57.846506300114548</v>
      </c>
      <c r="I26" s="1">
        <v>2302</v>
      </c>
      <c r="J26" s="1" t="s">
        <v>23</v>
      </c>
    </row>
    <row r="27" spans="1:10" x14ac:dyDescent="0.3">
      <c r="A27" s="1" t="s">
        <v>24</v>
      </c>
      <c r="B27" s="1">
        <v>322413</v>
      </c>
      <c r="C27" s="1">
        <v>6967</v>
      </c>
      <c r="D27" s="3">
        <f t="shared" si="0"/>
        <v>2.1608930161004674</v>
      </c>
      <c r="E27" s="1">
        <v>28786</v>
      </c>
      <c r="F27" s="3">
        <f t="shared" si="1"/>
        <v>8.928300037529505</v>
      </c>
      <c r="G27" s="1">
        <f t="shared" si="2"/>
        <v>-21819</v>
      </c>
      <c r="H27" s="3">
        <f t="shared" si="3"/>
        <v>-67.674070214290367</v>
      </c>
      <c r="I27" s="1">
        <v>19063</v>
      </c>
      <c r="J27" s="1" t="s">
        <v>24</v>
      </c>
    </row>
    <row r="28" spans="1:10" x14ac:dyDescent="0.3">
      <c r="A28" s="1" t="s">
        <v>25</v>
      </c>
      <c r="B28" s="1">
        <v>259915</v>
      </c>
      <c r="C28" s="1">
        <v>5884</v>
      </c>
      <c r="D28" s="3">
        <f t="shared" si="0"/>
        <v>2.2638170171017449</v>
      </c>
      <c r="E28" s="1">
        <v>22998</v>
      </c>
      <c r="F28" s="3">
        <f t="shared" si="1"/>
        <v>8.8482773214320058</v>
      </c>
      <c r="G28" s="1">
        <f t="shared" si="2"/>
        <v>-17114</v>
      </c>
      <c r="H28" s="3">
        <f t="shared" si="3"/>
        <v>-65.844603043302612</v>
      </c>
      <c r="I28" s="1">
        <v>15608</v>
      </c>
      <c r="J28" s="1" t="s">
        <v>25</v>
      </c>
    </row>
    <row r="29" spans="1:10" x14ac:dyDescent="0.3">
      <c r="A29" s="1" t="s">
        <v>26</v>
      </c>
      <c r="B29" s="1">
        <v>1948029</v>
      </c>
      <c r="C29" s="1">
        <v>272261</v>
      </c>
      <c r="D29" s="3">
        <f t="shared" si="0"/>
        <v>13.9762293066479</v>
      </c>
      <c r="E29" s="1">
        <v>102961</v>
      </c>
      <c r="F29" s="3">
        <f t="shared" si="1"/>
        <v>5.2853935952698858</v>
      </c>
      <c r="G29" s="1">
        <f t="shared" si="2"/>
        <v>169300</v>
      </c>
      <c r="H29" s="3">
        <f t="shared" si="3"/>
        <v>86.908357113780127</v>
      </c>
      <c r="I29" s="1">
        <v>144884</v>
      </c>
      <c r="J29" s="1" t="s">
        <v>26</v>
      </c>
    </row>
    <row r="30" spans="1:10" x14ac:dyDescent="0.3">
      <c r="A30" s="1" t="s">
        <v>27</v>
      </c>
      <c r="B30" s="1">
        <v>423536</v>
      </c>
      <c r="C30" s="1">
        <v>80591</v>
      </c>
      <c r="D30" s="3">
        <f t="shared" si="0"/>
        <v>19.028134562351251</v>
      </c>
      <c r="E30" s="1">
        <v>10885</v>
      </c>
      <c r="F30" s="3">
        <f t="shared" si="1"/>
        <v>2.5700294662083034</v>
      </c>
      <c r="G30" s="1">
        <f t="shared" si="2"/>
        <v>69706</v>
      </c>
      <c r="H30" s="3">
        <f t="shared" si="3"/>
        <v>164.5810509614295</v>
      </c>
      <c r="I30" s="1">
        <v>24039</v>
      </c>
      <c r="J30" s="1" t="s">
        <v>27</v>
      </c>
    </row>
    <row r="31" spans="1:10" x14ac:dyDescent="0.3">
      <c r="A31" s="1" t="s">
        <v>28</v>
      </c>
      <c r="B31" s="1">
        <v>533516</v>
      </c>
      <c r="C31" s="1">
        <v>77535</v>
      </c>
      <c r="D31" s="3">
        <f t="shared" si="0"/>
        <v>14.532835004011128</v>
      </c>
      <c r="E31" s="1">
        <v>11696</v>
      </c>
      <c r="F31" s="3">
        <f t="shared" si="1"/>
        <v>2.1922491546645273</v>
      </c>
      <c r="G31" s="1">
        <f t="shared" si="2"/>
        <v>65839</v>
      </c>
      <c r="H31" s="3">
        <f t="shared" si="3"/>
        <v>123.40585849346598</v>
      </c>
      <c r="I31" s="1">
        <v>36874</v>
      </c>
      <c r="J31" s="1" t="s">
        <v>28</v>
      </c>
    </row>
    <row r="32" spans="1:10" x14ac:dyDescent="0.3">
      <c r="A32" s="1" t="s">
        <v>29</v>
      </c>
      <c r="B32" s="1">
        <v>357422</v>
      </c>
      <c r="C32" s="1">
        <v>14471</v>
      </c>
      <c r="D32" s="3">
        <f t="shared" si="0"/>
        <v>4.0487155239464832</v>
      </c>
      <c r="E32" s="1">
        <v>26985</v>
      </c>
      <c r="F32" s="3">
        <f t="shared" si="1"/>
        <v>7.5498989989424263</v>
      </c>
      <c r="G32" s="1">
        <f t="shared" si="2"/>
        <v>-12514</v>
      </c>
      <c r="H32" s="3">
        <f t="shared" si="3"/>
        <v>-35.011834749959434</v>
      </c>
      <c r="I32" s="1">
        <v>19858</v>
      </c>
      <c r="J32" s="1" t="s">
        <v>29</v>
      </c>
    </row>
    <row r="33" spans="1:10" x14ac:dyDescent="0.3">
      <c r="A33" s="1" t="s">
        <v>74</v>
      </c>
      <c r="B33" s="1">
        <v>168684</v>
      </c>
      <c r="C33" s="1">
        <v>3236</v>
      </c>
      <c r="D33" s="3">
        <f t="shared" si="0"/>
        <v>1.9183799293353252</v>
      </c>
      <c r="E33" s="1">
        <v>22150</v>
      </c>
      <c r="F33" s="3">
        <f t="shared" si="1"/>
        <v>13.131061630030116</v>
      </c>
      <c r="G33" s="1">
        <f t="shared" si="2"/>
        <v>-18914</v>
      </c>
      <c r="H33" s="3">
        <f t="shared" si="3"/>
        <v>-112.1268170069479</v>
      </c>
      <c r="I33" s="1">
        <v>9853</v>
      </c>
      <c r="J33" s="1" t="s">
        <v>74</v>
      </c>
    </row>
    <row r="34" spans="1:10" x14ac:dyDescent="0.3">
      <c r="A34" s="1" t="s">
        <v>30</v>
      </c>
      <c r="B34" s="1">
        <v>296179</v>
      </c>
      <c r="C34" s="1">
        <v>8447</v>
      </c>
      <c r="D34" s="3">
        <f t="shared" si="0"/>
        <v>2.8519915321477889</v>
      </c>
      <c r="E34" s="1">
        <v>20943</v>
      </c>
      <c r="F34" s="3">
        <f t="shared" si="1"/>
        <v>7.0710617565728828</v>
      </c>
      <c r="G34" s="1">
        <f t="shared" si="2"/>
        <v>-12496</v>
      </c>
      <c r="H34" s="3">
        <f t="shared" si="3"/>
        <v>-42.190702244250943</v>
      </c>
      <c r="I34" s="1">
        <v>13733</v>
      </c>
      <c r="J34" s="1" t="s">
        <v>30</v>
      </c>
    </row>
    <row r="35" spans="1:10" x14ac:dyDescent="0.3">
      <c r="A35" s="1" t="s">
        <v>31</v>
      </c>
      <c r="B35" s="1">
        <v>454760</v>
      </c>
      <c r="C35" s="1">
        <v>19118</v>
      </c>
      <c r="D35" s="3">
        <f t="shared" si="0"/>
        <v>4.2039757234585275</v>
      </c>
      <c r="E35" s="1">
        <v>22717</v>
      </c>
      <c r="F35" s="3">
        <f t="shared" si="1"/>
        <v>4.995382179611223</v>
      </c>
      <c r="G35" s="1">
        <f t="shared" si="2"/>
        <v>-3599</v>
      </c>
      <c r="H35" s="3">
        <f t="shared" si="3"/>
        <v>-7.9140645615269589</v>
      </c>
      <c r="I35" s="1">
        <v>20020</v>
      </c>
      <c r="J35" s="1" t="s">
        <v>31</v>
      </c>
    </row>
    <row r="36" spans="1:10" x14ac:dyDescent="0.3">
      <c r="A36" s="1" t="s">
        <v>32</v>
      </c>
      <c r="B36" s="1">
        <v>692792</v>
      </c>
      <c r="C36" s="1">
        <v>62817</v>
      </c>
      <c r="D36" s="3">
        <f t="shared" si="0"/>
        <v>9.0672236399958432</v>
      </c>
      <c r="E36" s="1">
        <v>22029</v>
      </c>
      <c r="F36" s="3">
        <f t="shared" si="1"/>
        <v>3.1797422603032368</v>
      </c>
      <c r="G36" s="1">
        <f t="shared" si="2"/>
        <v>40788</v>
      </c>
      <c r="H36" s="3">
        <f t="shared" si="3"/>
        <v>58.874813796926063</v>
      </c>
      <c r="I36" s="1">
        <v>65064</v>
      </c>
      <c r="J36" s="1" t="s">
        <v>32</v>
      </c>
    </row>
    <row r="37" spans="1:10" x14ac:dyDescent="0.3">
      <c r="A37" s="1" t="s">
        <v>33</v>
      </c>
      <c r="B37" s="1">
        <v>246578</v>
      </c>
      <c r="C37" s="1">
        <v>5793</v>
      </c>
      <c r="D37" s="3">
        <f t="shared" si="0"/>
        <v>2.3493580124747546</v>
      </c>
      <c r="E37" s="1">
        <v>26975</v>
      </c>
      <c r="F37" s="3">
        <f t="shared" si="1"/>
        <v>10.939743204989902</v>
      </c>
      <c r="G37" s="1">
        <f t="shared" si="2"/>
        <v>-21182</v>
      </c>
      <c r="H37" s="3">
        <f t="shared" si="3"/>
        <v>-85.903851925151471</v>
      </c>
      <c r="I37" s="1">
        <v>23068</v>
      </c>
      <c r="J37" s="1" t="s">
        <v>33</v>
      </c>
    </row>
    <row r="38" spans="1:10" x14ac:dyDescent="0.3">
      <c r="A38" s="1" t="s">
        <v>34</v>
      </c>
      <c r="B38" s="1">
        <v>4914</v>
      </c>
      <c r="C38" s="1">
        <v>688</v>
      </c>
      <c r="D38" s="3">
        <f t="shared" si="0"/>
        <v>14.000814000814001</v>
      </c>
      <c r="E38" s="1">
        <v>517</v>
      </c>
      <c r="F38" s="3">
        <f t="shared" si="1"/>
        <v>10.520960520960521</v>
      </c>
      <c r="G38" s="1">
        <f t="shared" si="2"/>
        <v>171</v>
      </c>
      <c r="H38" s="3">
        <f t="shared" si="3"/>
        <v>34.798534798534803</v>
      </c>
      <c r="I38" s="1">
        <v>319</v>
      </c>
      <c r="J38" s="1" t="s">
        <v>34</v>
      </c>
    </row>
    <row r="39" spans="1:10" x14ac:dyDescent="0.3">
      <c r="A39" s="1" t="s">
        <v>35</v>
      </c>
      <c r="B39" s="1">
        <v>11257</v>
      </c>
      <c r="C39" s="1">
        <v>1307</v>
      </c>
      <c r="D39" s="3">
        <f t="shared" si="0"/>
        <v>11.610553433419206</v>
      </c>
      <c r="E39" s="1">
        <v>842</v>
      </c>
      <c r="F39" s="3">
        <f t="shared" si="1"/>
        <v>7.4797903526694505</v>
      </c>
      <c r="G39" s="1">
        <f t="shared" si="2"/>
        <v>465</v>
      </c>
      <c r="H39" s="3">
        <f t="shared" si="3"/>
        <v>41.30763080749756</v>
      </c>
      <c r="I39" s="1">
        <v>1207</v>
      </c>
      <c r="J39" s="1" t="s">
        <v>35</v>
      </c>
    </row>
    <row r="40" spans="1:10" x14ac:dyDescent="0.3">
      <c r="A40" s="1" t="s">
        <v>36</v>
      </c>
      <c r="B40" s="1">
        <v>103946</v>
      </c>
      <c r="C40" s="1">
        <v>2235</v>
      </c>
      <c r="D40" s="3">
        <f t="shared" si="0"/>
        <v>2.150154888114983</v>
      </c>
      <c r="E40" s="1">
        <v>9780</v>
      </c>
      <c r="F40" s="3">
        <f t="shared" si="1"/>
        <v>9.408731456717911</v>
      </c>
      <c r="G40" s="1">
        <f t="shared" si="2"/>
        <v>-7545</v>
      </c>
      <c r="H40" s="3">
        <f t="shared" si="3"/>
        <v>-72.585765686029291</v>
      </c>
      <c r="I40" s="1">
        <v>10766</v>
      </c>
      <c r="J40" s="1" t="s">
        <v>36</v>
      </c>
    </row>
    <row r="41" spans="1:10" x14ac:dyDescent="0.3">
      <c r="A41" s="1" t="s">
        <v>37</v>
      </c>
      <c r="B41" s="1">
        <v>573462</v>
      </c>
      <c r="C41" s="1">
        <v>56057</v>
      </c>
      <c r="D41" s="3">
        <f t="shared" si="0"/>
        <v>9.7751899864332774</v>
      </c>
      <c r="E41" s="1">
        <v>16138</v>
      </c>
      <c r="F41" s="3">
        <f t="shared" si="1"/>
        <v>2.81413589740907</v>
      </c>
      <c r="G41" s="1">
        <f t="shared" si="2"/>
        <v>39919</v>
      </c>
      <c r="H41" s="3">
        <f t="shared" si="3"/>
        <v>69.610540890242078</v>
      </c>
      <c r="I41" s="1">
        <v>66327</v>
      </c>
      <c r="J41" s="1" t="s">
        <v>37</v>
      </c>
    </row>
    <row r="42" spans="1:10" x14ac:dyDescent="0.3">
      <c r="A42" s="1" t="s">
        <v>38</v>
      </c>
      <c r="B42" s="1">
        <v>152989</v>
      </c>
      <c r="C42" s="1">
        <v>4049</v>
      </c>
      <c r="D42" s="3">
        <f t="shared" si="0"/>
        <v>2.6465955068665066</v>
      </c>
      <c r="E42" s="1">
        <v>14058</v>
      </c>
      <c r="F42" s="3">
        <f t="shared" si="1"/>
        <v>9.1888959336945799</v>
      </c>
      <c r="G42" s="1">
        <f t="shared" si="2"/>
        <v>-10009</v>
      </c>
      <c r="H42" s="3">
        <f t="shared" si="3"/>
        <v>-65.423004268280721</v>
      </c>
      <c r="I42" s="1">
        <v>16871</v>
      </c>
      <c r="J42" s="1" t="s">
        <v>38</v>
      </c>
    </row>
    <row r="43" spans="1:10" x14ac:dyDescent="0.3">
      <c r="A43" s="1" t="s">
        <v>39</v>
      </c>
      <c r="B43" s="1">
        <v>311573</v>
      </c>
      <c r="C43" s="1">
        <v>14466</v>
      </c>
      <c r="D43" s="3">
        <f t="shared" si="0"/>
        <v>4.6428926768365679</v>
      </c>
      <c r="E43" s="1">
        <v>23466</v>
      </c>
      <c r="F43" s="3">
        <f t="shared" si="1"/>
        <v>7.5314613268800565</v>
      </c>
      <c r="G43" s="1">
        <f t="shared" si="2"/>
        <v>-9000</v>
      </c>
      <c r="H43" s="3">
        <f t="shared" si="3"/>
        <v>-28.88568650043489</v>
      </c>
      <c r="I43" s="1">
        <v>37372</v>
      </c>
      <c r="J43" s="1" t="s">
        <v>39</v>
      </c>
    </row>
    <row r="44" spans="1:10" x14ac:dyDescent="0.3">
      <c r="A44" s="1" t="s">
        <v>40</v>
      </c>
      <c r="B44" s="1">
        <v>365386</v>
      </c>
      <c r="C44" s="1">
        <v>26227</v>
      </c>
      <c r="D44" s="3">
        <f t="shared" si="0"/>
        <v>7.1778885890537669</v>
      </c>
      <c r="E44" s="1">
        <v>9049</v>
      </c>
      <c r="F44" s="3">
        <f t="shared" si="1"/>
        <v>2.4765590361973366</v>
      </c>
      <c r="G44" s="1">
        <f t="shared" si="2"/>
        <v>17178</v>
      </c>
      <c r="H44" s="3">
        <f t="shared" si="3"/>
        <v>47.013295528564313</v>
      </c>
      <c r="I44" s="1">
        <v>44771</v>
      </c>
      <c r="J44" s="1" t="s">
        <v>87</v>
      </c>
    </row>
    <row r="45" spans="1:10" x14ac:dyDescent="0.3">
      <c r="A45" s="1" t="s">
        <v>41</v>
      </c>
      <c r="B45" s="1">
        <v>249178</v>
      </c>
      <c r="C45" s="1">
        <v>6175</v>
      </c>
      <c r="D45" s="3">
        <f t="shared" si="0"/>
        <v>2.4781481511208856</v>
      </c>
      <c r="E45" s="1">
        <v>32244</v>
      </c>
      <c r="F45" s="3">
        <f t="shared" si="1"/>
        <v>12.940147204006774</v>
      </c>
      <c r="G45" s="1">
        <f t="shared" si="2"/>
        <v>-26069</v>
      </c>
      <c r="H45" s="3">
        <f t="shared" si="3"/>
        <v>-104.61999052885888</v>
      </c>
      <c r="I45" s="1">
        <v>35289</v>
      </c>
      <c r="J45" s="1" t="s">
        <v>41</v>
      </c>
    </row>
    <row r="46" spans="1:10" x14ac:dyDescent="0.3">
      <c r="A46" s="1" t="s">
        <v>42</v>
      </c>
      <c r="B46" s="1">
        <v>128562</v>
      </c>
      <c r="C46" s="1">
        <v>4980</v>
      </c>
      <c r="D46" s="3">
        <f t="shared" si="0"/>
        <v>3.8736173986092313</v>
      </c>
      <c r="E46" s="1">
        <v>17546</v>
      </c>
      <c r="F46" s="3">
        <f t="shared" si="1"/>
        <v>13.64788973413606</v>
      </c>
      <c r="G46" s="1">
        <f t="shared" si="2"/>
        <v>-12566</v>
      </c>
      <c r="H46" s="3">
        <f t="shared" si="3"/>
        <v>-97.742723355268282</v>
      </c>
      <c r="I46" s="1">
        <v>16446</v>
      </c>
      <c r="J46" s="1" t="s">
        <v>42</v>
      </c>
    </row>
    <row r="47" spans="1:10" x14ac:dyDescent="0.3">
      <c r="A47" s="1" t="s">
        <v>43</v>
      </c>
      <c r="B47" s="1">
        <v>244926</v>
      </c>
      <c r="C47" s="1">
        <v>4520</v>
      </c>
      <c r="D47" s="3">
        <f t="shared" si="0"/>
        <v>1.8454553620277143</v>
      </c>
      <c r="E47" s="1">
        <v>24188</v>
      </c>
      <c r="F47" s="3">
        <f t="shared" si="1"/>
        <v>9.875635906355388</v>
      </c>
      <c r="G47" s="1">
        <f t="shared" si="2"/>
        <v>-19668</v>
      </c>
      <c r="H47" s="3">
        <f t="shared" si="3"/>
        <v>-80.301805443276734</v>
      </c>
      <c r="I47" s="1">
        <v>34157</v>
      </c>
      <c r="J47" s="1" t="s">
        <v>43</v>
      </c>
    </row>
    <row r="48" spans="1:10" x14ac:dyDescent="0.3">
      <c r="A48" s="1" t="s">
        <v>44</v>
      </c>
      <c r="B48" s="1">
        <v>56338</v>
      </c>
      <c r="C48" s="1">
        <v>914</v>
      </c>
      <c r="D48" s="3">
        <f t="shared" si="0"/>
        <v>1.6223508111754055</v>
      </c>
      <c r="E48" s="1">
        <v>5171</v>
      </c>
      <c r="F48" s="3">
        <f t="shared" si="1"/>
        <v>9.1785295892647945</v>
      </c>
      <c r="G48" s="1">
        <f t="shared" si="2"/>
        <v>-4257</v>
      </c>
      <c r="H48" s="3">
        <f t="shared" si="3"/>
        <v>-75.561787780893894</v>
      </c>
      <c r="I48" s="1">
        <v>3108</v>
      </c>
      <c r="J48" s="1" t="s">
        <v>44</v>
      </c>
    </row>
    <row r="49" spans="1:10" x14ac:dyDescent="0.3">
      <c r="A49" s="1" t="s">
        <v>45</v>
      </c>
      <c r="B49" s="1">
        <v>232787</v>
      </c>
      <c r="C49" s="1">
        <v>2234</v>
      </c>
      <c r="D49" s="3">
        <f t="shared" si="0"/>
        <v>0.95967558325851543</v>
      </c>
      <c r="E49" s="1">
        <v>12574</v>
      </c>
      <c r="F49" s="3">
        <f t="shared" si="1"/>
        <v>5.4015043795400945</v>
      </c>
      <c r="G49" s="1">
        <f t="shared" si="2"/>
        <v>-10340</v>
      </c>
      <c r="H49" s="3">
        <f t="shared" si="3"/>
        <v>-44.418287962815796</v>
      </c>
      <c r="I49" s="1">
        <v>20024</v>
      </c>
      <c r="J49" s="1" t="s">
        <v>45</v>
      </c>
    </row>
    <row r="50" spans="1:10" x14ac:dyDescent="0.3">
      <c r="A50" s="1" t="s">
        <v>46</v>
      </c>
      <c r="B50" s="1">
        <v>229276</v>
      </c>
      <c r="C50" s="1">
        <v>3147</v>
      </c>
      <c r="D50" s="3">
        <f t="shared" si="0"/>
        <v>1.3725815174723912</v>
      </c>
      <c r="E50" s="1">
        <v>14104</v>
      </c>
      <c r="F50" s="3">
        <f t="shared" si="1"/>
        <v>6.1515378844711179</v>
      </c>
      <c r="G50" s="1">
        <f t="shared" si="2"/>
        <v>-10957</v>
      </c>
      <c r="H50" s="3">
        <f t="shared" si="3"/>
        <v>-47.789563669987267</v>
      </c>
      <c r="I50" s="1">
        <v>31720</v>
      </c>
      <c r="J50" s="1" t="s">
        <v>46</v>
      </c>
    </row>
    <row r="51" spans="1:10" x14ac:dyDescent="0.3">
      <c r="A51" s="1" t="s">
        <v>47</v>
      </c>
      <c r="B51" s="1">
        <v>243069</v>
      </c>
      <c r="C51" s="1">
        <v>6172</v>
      </c>
      <c r="D51" s="3">
        <f t="shared" si="0"/>
        <v>2.5391966890060025</v>
      </c>
      <c r="E51" s="1">
        <v>28558</v>
      </c>
      <c r="F51" s="3">
        <f t="shared" si="1"/>
        <v>11.748927259337885</v>
      </c>
      <c r="G51" s="1">
        <f t="shared" si="2"/>
        <v>-22386</v>
      </c>
      <c r="H51" s="3">
        <f t="shared" si="3"/>
        <v>-92.09730570331881</v>
      </c>
      <c r="I51" s="1">
        <v>41550</v>
      </c>
      <c r="J51" s="1" t="s">
        <v>47</v>
      </c>
    </row>
    <row r="52" spans="1:10" x14ac:dyDescent="0.3">
      <c r="A52" s="1" t="s">
        <v>48</v>
      </c>
      <c r="B52" s="1">
        <v>174270</v>
      </c>
      <c r="C52" s="1">
        <v>3907</v>
      </c>
      <c r="D52" s="3">
        <f t="shared" si="0"/>
        <v>2.241923452114535</v>
      </c>
      <c r="E52" s="1">
        <v>20959</v>
      </c>
      <c r="F52" s="3">
        <f t="shared" si="1"/>
        <v>12.026740115912091</v>
      </c>
      <c r="G52" s="1">
        <f t="shared" si="2"/>
        <v>-17052</v>
      </c>
      <c r="H52" s="3">
        <f t="shared" si="3"/>
        <v>-97.848166637975567</v>
      </c>
      <c r="I52" s="1">
        <v>29934</v>
      </c>
      <c r="J52" s="1" t="s">
        <v>48</v>
      </c>
    </row>
    <row r="53" spans="1:10" x14ac:dyDescent="0.3">
      <c r="A53" s="1" t="s">
        <v>49</v>
      </c>
      <c r="B53" s="1">
        <v>239260</v>
      </c>
      <c r="C53" s="1">
        <v>7503</v>
      </c>
      <c r="D53" s="3">
        <f t="shared" si="0"/>
        <v>3.1359190838418454</v>
      </c>
      <c r="E53" s="1">
        <v>23300</v>
      </c>
      <c r="F53" s="3">
        <f t="shared" si="1"/>
        <v>9.7383599431580699</v>
      </c>
      <c r="G53" s="1">
        <f t="shared" si="2"/>
        <v>-15797</v>
      </c>
      <c r="H53" s="3">
        <f t="shared" si="3"/>
        <v>-66.024408593162249</v>
      </c>
      <c r="I53" s="1">
        <v>30698</v>
      </c>
      <c r="J53" s="1" t="s">
        <v>49</v>
      </c>
    </row>
    <row r="54" spans="1:10" x14ac:dyDescent="0.3">
      <c r="A54" s="1" t="s">
        <v>50</v>
      </c>
      <c r="B54" s="1">
        <v>354024</v>
      </c>
      <c r="C54" s="1">
        <v>13188</v>
      </c>
      <c r="D54" s="3">
        <f t="shared" si="0"/>
        <v>3.7251711748356042</v>
      </c>
      <c r="E54" s="1">
        <v>8235</v>
      </c>
      <c r="F54" s="3">
        <f t="shared" si="1"/>
        <v>2.3261134838316049</v>
      </c>
      <c r="G54" s="1">
        <f t="shared" si="2"/>
        <v>4953</v>
      </c>
      <c r="H54" s="3">
        <f t="shared" si="3"/>
        <v>13.990576910039998</v>
      </c>
      <c r="I54" s="1">
        <v>27942</v>
      </c>
      <c r="J54" s="1" t="s">
        <v>88</v>
      </c>
    </row>
    <row r="55" spans="1:10" x14ac:dyDescent="0.3">
      <c r="A55" s="1" t="s">
        <v>51</v>
      </c>
      <c r="B55" s="1">
        <v>1047117</v>
      </c>
      <c r="C55" s="1">
        <v>70429</v>
      </c>
      <c r="D55" s="3">
        <f t="shared" si="0"/>
        <v>6.7259914603621187</v>
      </c>
      <c r="E55" s="1">
        <v>18704</v>
      </c>
      <c r="F55" s="3">
        <f t="shared" si="1"/>
        <v>1.7862378320665218</v>
      </c>
      <c r="G55" s="1">
        <f t="shared" si="2"/>
        <v>51725</v>
      </c>
      <c r="H55" s="3">
        <f t="shared" si="3"/>
        <v>49.397536282955961</v>
      </c>
      <c r="I55" s="1">
        <v>79818</v>
      </c>
      <c r="J55" s="1" t="s">
        <v>51</v>
      </c>
    </row>
    <row r="56" spans="1:10" x14ac:dyDescent="0.3">
      <c r="A56" s="1" t="s">
        <v>52</v>
      </c>
      <c r="B56" s="1">
        <v>637949</v>
      </c>
      <c r="C56" s="1">
        <v>17170</v>
      </c>
      <c r="D56" s="3">
        <f t="shared" si="0"/>
        <v>2.6914377168080832</v>
      </c>
      <c r="E56" s="1">
        <v>9006</v>
      </c>
      <c r="F56" s="3">
        <f t="shared" si="1"/>
        <v>1.4117115945005008</v>
      </c>
      <c r="G56" s="1">
        <f t="shared" si="2"/>
        <v>8164</v>
      </c>
      <c r="H56" s="3">
        <f t="shared" si="3"/>
        <v>12.797261223075825</v>
      </c>
      <c r="I56" s="1">
        <v>43881</v>
      </c>
      <c r="J56" s="1" t="s">
        <v>52</v>
      </c>
    </row>
    <row r="57" spans="1:10" x14ac:dyDescent="0.3">
      <c r="A57" s="1" t="s">
        <v>75</v>
      </c>
      <c r="B57" s="1">
        <v>663090</v>
      </c>
      <c r="C57" s="1">
        <v>32041</v>
      </c>
      <c r="D57" s="3">
        <f t="shared" si="0"/>
        <v>4.8320740774253874</v>
      </c>
      <c r="E57" s="1">
        <v>15055</v>
      </c>
      <c r="F57" s="3">
        <f t="shared" si="1"/>
        <v>2.2704308615723359</v>
      </c>
      <c r="G57" s="1">
        <f t="shared" si="2"/>
        <v>16986</v>
      </c>
      <c r="H57" s="3">
        <f t="shared" si="3"/>
        <v>25.616432158530518</v>
      </c>
      <c r="I57" s="1">
        <v>53394</v>
      </c>
      <c r="J57" s="1" t="s">
        <v>75</v>
      </c>
    </row>
    <row r="58" spans="1:10" x14ac:dyDescent="0.3">
      <c r="A58" s="1" t="s">
        <v>73</v>
      </c>
      <c r="B58" s="1">
        <v>573006</v>
      </c>
      <c r="C58" s="1">
        <v>31123</v>
      </c>
      <c r="D58" s="3">
        <f t="shared" si="0"/>
        <v>5.4315312579623951</v>
      </c>
      <c r="E58" s="1">
        <v>10738</v>
      </c>
      <c r="F58" s="3">
        <f t="shared" si="1"/>
        <v>1.8739768868039777</v>
      </c>
      <c r="G58" s="1">
        <f t="shared" si="2"/>
        <v>20385</v>
      </c>
      <c r="H58" s="3">
        <f t="shared" si="3"/>
        <v>35.575543711584174</v>
      </c>
      <c r="I58" s="1">
        <v>29594</v>
      </c>
      <c r="J58" s="1" t="s">
        <v>73</v>
      </c>
    </row>
    <row r="59" spans="1:10" x14ac:dyDescent="0.3">
      <c r="A59" s="1" t="s">
        <v>72</v>
      </c>
      <c r="B59" s="1">
        <v>449634</v>
      </c>
      <c r="C59" s="1">
        <v>14708</v>
      </c>
      <c r="D59" s="3">
        <f t="shared" si="0"/>
        <v>3.2711049431315247</v>
      </c>
      <c r="E59" s="1">
        <v>16583</v>
      </c>
      <c r="F59" s="3">
        <f t="shared" si="1"/>
        <v>3.6881107745410708</v>
      </c>
      <c r="G59" s="1">
        <f t="shared" si="2"/>
        <v>-1875</v>
      </c>
      <c r="H59" s="3">
        <f t="shared" si="3"/>
        <v>-4.1700583140954643</v>
      </c>
      <c r="I59" s="1">
        <v>29243</v>
      </c>
      <c r="J59" s="1" t="s">
        <v>72</v>
      </c>
    </row>
    <row r="60" spans="1:10" x14ac:dyDescent="0.3">
      <c r="A60" s="1" t="s">
        <v>62</v>
      </c>
      <c r="B60" s="1">
        <v>42129</v>
      </c>
      <c r="C60" s="1">
        <v>509</v>
      </c>
      <c r="D60" s="3">
        <f t="shared" si="0"/>
        <v>1.2081938806997556</v>
      </c>
      <c r="E60" s="1">
        <v>1228</v>
      </c>
      <c r="F60" s="3">
        <f t="shared" si="1"/>
        <v>2.9148567495074653</v>
      </c>
      <c r="G60" s="1">
        <f t="shared" si="2"/>
        <v>-719</v>
      </c>
      <c r="H60" s="3">
        <f t="shared" si="3"/>
        <v>-17.066628688077095</v>
      </c>
      <c r="I60" s="1">
        <v>430</v>
      </c>
      <c r="J60" s="1" t="s">
        <v>62</v>
      </c>
    </row>
    <row r="61" spans="1:10" x14ac:dyDescent="0.3">
      <c r="A61" s="1" t="s">
        <v>61</v>
      </c>
      <c r="B61" s="1">
        <v>63788</v>
      </c>
      <c r="C61" s="1">
        <v>695</v>
      </c>
      <c r="D61" s="3">
        <f t="shared" si="0"/>
        <v>1.0895466231893147</v>
      </c>
      <c r="E61" s="1">
        <v>2426</v>
      </c>
      <c r="F61" s="3">
        <f t="shared" si="1"/>
        <v>3.8032231767730607</v>
      </c>
      <c r="G61" s="1">
        <f t="shared" si="2"/>
        <v>-1731</v>
      </c>
      <c r="H61" s="3">
        <f t="shared" si="3"/>
        <v>-27.136765535837462</v>
      </c>
      <c r="I61" s="1">
        <v>1116</v>
      </c>
      <c r="J61" s="1" t="s">
        <v>61</v>
      </c>
    </row>
    <row r="62" spans="1:10" x14ac:dyDescent="0.3">
      <c r="A62" s="1" t="s">
        <v>53</v>
      </c>
      <c r="B62" s="1">
        <v>53848</v>
      </c>
      <c r="C62" s="1">
        <v>376</v>
      </c>
      <c r="D62" s="3">
        <f t="shared" si="0"/>
        <v>0.69826177388203836</v>
      </c>
      <c r="E62" s="1">
        <v>2734</v>
      </c>
      <c r="F62" s="3">
        <f t="shared" si="1"/>
        <v>5.0772544941316298</v>
      </c>
      <c r="G62" s="1">
        <f t="shared" si="2"/>
        <v>-2358</v>
      </c>
      <c r="H62" s="3">
        <f t="shared" si="3"/>
        <v>-43.789927202495917</v>
      </c>
      <c r="I62" s="1">
        <v>796</v>
      </c>
      <c r="J62" s="1" t="s">
        <v>53</v>
      </c>
    </row>
    <row r="63" spans="1:10" x14ac:dyDescent="0.3">
      <c r="A63" s="1" t="s">
        <v>54</v>
      </c>
      <c r="B63" s="1">
        <v>117137</v>
      </c>
      <c r="C63" s="1">
        <v>1311</v>
      </c>
      <c r="D63" s="3">
        <f t="shared" si="0"/>
        <v>1.1192023015784935</v>
      </c>
      <c r="E63" s="1">
        <v>5924</v>
      </c>
      <c r="F63" s="3">
        <f t="shared" si="1"/>
        <v>5.0573260370335591</v>
      </c>
      <c r="G63" s="1">
        <f t="shared" si="2"/>
        <v>-4613</v>
      </c>
      <c r="H63" s="3">
        <f t="shared" si="3"/>
        <v>-39.381237354550649</v>
      </c>
      <c r="I63" s="1">
        <v>2703</v>
      </c>
      <c r="J63" s="1" t="s">
        <v>54</v>
      </c>
    </row>
    <row r="64" spans="1:10" x14ac:dyDescent="0.3">
      <c r="A64" s="1" t="s">
        <v>55</v>
      </c>
      <c r="B64" s="1">
        <v>144708</v>
      </c>
      <c r="C64" s="1">
        <v>1441</v>
      </c>
      <c r="D64" s="3">
        <f t="shared" si="0"/>
        <v>0.99579843547004998</v>
      </c>
      <c r="E64" s="1">
        <v>8330</v>
      </c>
      <c r="F64" s="3">
        <f t="shared" si="1"/>
        <v>5.756419824750532</v>
      </c>
      <c r="G64" s="1">
        <f t="shared" si="2"/>
        <v>-6889</v>
      </c>
      <c r="H64" s="3">
        <f t="shared" si="3"/>
        <v>-47.606213892804817</v>
      </c>
      <c r="I64" s="1">
        <v>5586</v>
      </c>
      <c r="J64" s="1" t="s">
        <v>55</v>
      </c>
    </row>
    <row r="65" spans="1:10" x14ac:dyDescent="0.3">
      <c r="A65" s="1" t="s">
        <v>56</v>
      </c>
      <c r="B65" s="1">
        <v>251297</v>
      </c>
      <c r="C65" s="1">
        <v>2397</v>
      </c>
      <c r="D65" s="3">
        <f t="shared" si="0"/>
        <v>0.95385141883906288</v>
      </c>
      <c r="E65" s="1">
        <v>20628</v>
      </c>
      <c r="F65" s="3">
        <f t="shared" si="1"/>
        <v>8.2086137120618226</v>
      </c>
      <c r="G65" s="1">
        <f t="shared" si="2"/>
        <v>-18231</v>
      </c>
      <c r="H65" s="3">
        <f t="shared" si="3"/>
        <v>-72.547622932227611</v>
      </c>
      <c r="I65" s="1">
        <v>19343</v>
      </c>
      <c r="J65" s="1" t="s">
        <v>56</v>
      </c>
    </row>
    <row r="66" spans="1:10" x14ac:dyDescent="0.3">
      <c r="A66" s="1" t="s">
        <v>57</v>
      </c>
      <c r="B66" s="1">
        <v>187960</v>
      </c>
      <c r="C66" s="1">
        <v>1924</v>
      </c>
      <c r="D66" s="3">
        <f t="shared" si="0"/>
        <v>1.0236220472440944</v>
      </c>
      <c r="E66" s="1">
        <v>9085</v>
      </c>
      <c r="F66" s="3">
        <f t="shared" si="1"/>
        <v>4.8334752074909551</v>
      </c>
      <c r="G66" s="1">
        <f t="shared" si="2"/>
        <v>-7161</v>
      </c>
      <c r="H66" s="3">
        <f t="shared" si="3"/>
        <v>-38.098531602468604</v>
      </c>
      <c r="I66" s="1">
        <v>6136</v>
      </c>
      <c r="J66" s="1" t="s">
        <v>57</v>
      </c>
    </row>
    <row r="67" spans="1:10" x14ac:dyDescent="0.3">
      <c r="A67" s="1" t="s">
        <v>58</v>
      </c>
      <c r="B67" s="1">
        <v>164362</v>
      </c>
      <c r="C67" s="1">
        <v>4470</v>
      </c>
      <c r="D67" s="3">
        <f t="shared" ref="D67:D78" si="4">(C67/B67)*100</f>
        <v>2.719606721748336</v>
      </c>
      <c r="E67" s="1">
        <v>6153</v>
      </c>
      <c r="F67" s="3">
        <f t="shared" ref="F67:F78" si="5">(E67/B67)*100</f>
        <v>3.7435660310777426</v>
      </c>
      <c r="G67" s="1">
        <f t="shared" ref="G67:G78" si="6">C67-E67</f>
        <v>-1683</v>
      </c>
      <c r="H67" s="3">
        <f t="shared" ref="H67:H78" si="7">(G67/B67)*1000</f>
        <v>-10.23959309329407</v>
      </c>
      <c r="I67" s="1">
        <v>10193</v>
      </c>
      <c r="J67" s="1" t="s">
        <v>58</v>
      </c>
    </row>
    <row r="68" spans="1:10" x14ac:dyDescent="0.3">
      <c r="A68" s="1" t="s">
        <v>59</v>
      </c>
      <c r="B68" s="1">
        <v>236724</v>
      </c>
      <c r="C68" s="1">
        <v>3386</v>
      </c>
      <c r="D68" s="3">
        <f t="shared" si="4"/>
        <v>1.4303577161589023</v>
      </c>
      <c r="E68" s="1">
        <v>15606</v>
      </c>
      <c r="F68" s="3">
        <f t="shared" si="5"/>
        <v>6.5924874537436011</v>
      </c>
      <c r="G68" s="1">
        <f t="shared" si="6"/>
        <v>-12220</v>
      </c>
      <c r="H68" s="3">
        <f t="shared" si="7"/>
        <v>-51.621297375846979</v>
      </c>
      <c r="I68" s="1">
        <v>17024</v>
      </c>
      <c r="J68" s="1" t="s">
        <v>59</v>
      </c>
    </row>
    <row r="69" spans="1:10" x14ac:dyDescent="0.3">
      <c r="A69" s="1" t="s">
        <v>60</v>
      </c>
      <c r="B69" s="1">
        <v>406982</v>
      </c>
      <c r="C69" s="1">
        <v>26740</v>
      </c>
      <c r="D69" s="3">
        <f t="shared" si="4"/>
        <v>6.5703151490729317</v>
      </c>
      <c r="E69" s="1">
        <v>13998</v>
      </c>
      <c r="F69" s="3">
        <f t="shared" si="5"/>
        <v>3.439464153205793</v>
      </c>
      <c r="G69" s="1">
        <f t="shared" si="6"/>
        <v>12742</v>
      </c>
      <c r="H69" s="3">
        <f t="shared" si="7"/>
        <v>31.30850995867139</v>
      </c>
      <c r="I69" s="1">
        <v>30993</v>
      </c>
      <c r="J69" s="1" t="s">
        <v>60</v>
      </c>
    </row>
    <row r="70" spans="1:10" x14ac:dyDescent="0.3">
      <c r="A70" s="1" t="s">
        <v>63</v>
      </c>
      <c r="B70" s="1">
        <v>137554</v>
      </c>
      <c r="C70" s="1">
        <v>1113</v>
      </c>
      <c r="D70" s="3">
        <f t="shared" si="4"/>
        <v>0.80913677537548889</v>
      </c>
      <c r="E70" s="1">
        <v>6363</v>
      </c>
      <c r="F70" s="3">
        <f t="shared" si="5"/>
        <v>4.6258196780900587</v>
      </c>
      <c r="G70" s="1">
        <f t="shared" si="6"/>
        <v>-5250</v>
      </c>
      <c r="H70" s="3">
        <f t="shared" si="7"/>
        <v>-38.166829027145702</v>
      </c>
      <c r="I70" s="1">
        <v>14339</v>
      </c>
      <c r="J70" s="1" t="s">
        <v>63</v>
      </c>
    </row>
    <row r="71" spans="1:10" x14ac:dyDescent="0.3">
      <c r="A71" s="1" t="s">
        <v>65</v>
      </c>
      <c r="B71" s="1">
        <v>188457</v>
      </c>
      <c r="C71" s="1">
        <v>1759</v>
      </c>
      <c r="D71" s="3">
        <f t="shared" si="4"/>
        <v>0.93336941583491206</v>
      </c>
      <c r="E71" s="1">
        <v>10271</v>
      </c>
      <c r="F71" s="3">
        <f t="shared" si="5"/>
        <v>5.4500496134396705</v>
      </c>
      <c r="G71" s="1">
        <f t="shared" si="6"/>
        <v>-8512</v>
      </c>
      <c r="H71" s="3">
        <f t="shared" si="7"/>
        <v>-45.166801976047587</v>
      </c>
      <c r="I71" s="1">
        <v>34093</v>
      </c>
      <c r="J71" s="1" t="s">
        <v>65</v>
      </c>
    </row>
    <row r="72" spans="1:10" x14ac:dyDescent="0.3">
      <c r="A72" s="1" t="s">
        <v>64</v>
      </c>
      <c r="B72" s="1">
        <v>226726</v>
      </c>
      <c r="C72" s="1">
        <v>3410</v>
      </c>
      <c r="D72" s="3">
        <f t="shared" si="4"/>
        <v>1.504018065859231</v>
      </c>
      <c r="E72" s="1">
        <v>17808</v>
      </c>
      <c r="F72" s="3">
        <f t="shared" si="5"/>
        <v>7.8544145797129579</v>
      </c>
      <c r="G72" s="1">
        <f t="shared" si="6"/>
        <v>-14398</v>
      </c>
      <c r="H72" s="3">
        <f t="shared" si="7"/>
        <v>-63.503965138537261</v>
      </c>
      <c r="I72" s="1">
        <v>44167</v>
      </c>
      <c r="J72" s="1" t="s">
        <v>64</v>
      </c>
    </row>
    <row r="73" spans="1:10" x14ac:dyDescent="0.3">
      <c r="A73" s="1" t="s">
        <v>66</v>
      </c>
      <c r="B73" s="1">
        <v>131268</v>
      </c>
      <c r="C73" s="1">
        <v>1284</v>
      </c>
      <c r="D73" s="3">
        <f t="shared" si="4"/>
        <v>0.97815156778498957</v>
      </c>
      <c r="E73" s="1">
        <v>7652</v>
      </c>
      <c r="F73" s="3">
        <f t="shared" si="5"/>
        <v>5.829295791815218</v>
      </c>
      <c r="G73" s="1">
        <f t="shared" si="6"/>
        <v>-6368</v>
      </c>
      <c r="H73" s="3">
        <f t="shared" si="7"/>
        <v>-48.51144224030228</v>
      </c>
      <c r="I73" s="1">
        <v>7448</v>
      </c>
      <c r="J73" s="1" t="s">
        <v>66</v>
      </c>
    </row>
    <row r="74" spans="1:10" x14ac:dyDescent="0.3">
      <c r="A74" s="1" t="s">
        <v>67</v>
      </c>
      <c r="B74" s="1">
        <v>240760</v>
      </c>
      <c r="C74" s="1">
        <v>2780</v>
      </c>
      <c r="D74" s="3">
        <f t="shared" si="4"/>
        <v>1.1546768566207011</v>
      </c>
      <c r="E74" s="1">
        <v>17245</v>
      </c>
      <c r="F74" s="3">
        <f t="shared" si="5"/>
        <v>7.1627346735338087</v>
      </c>
      <c r="G74" s="1">
        <f t="shared" si="6"/>
        <v>-14465</v>
      </c>
      <c r="H74" s="3">
        <f t="shared" si="7"/>
        <v>-60.080578169131087</v>
      </c>
      <c r="I74" s="1">
        <v>22821</v>
      </c>
      <c r="J74" s="1" t="s">
        <v>67</v>
      </c>
    </row>
    <row r="75" spans="1:10" x14ac:dyDescent="0.3">
      <c r="A75" s="1" t="s">
        <v>68</v>
      </c>
      <c r="B75" s="1">
        <v>137832</v>
      </c>
      <c r="C75" s="1">
        <v>4527</v>
      </c>
      <c r="D75" s="3">
        <f t="shared" si="4"/>
        <v>3.2844332230541529</v>
      </c>
      <c r="E75" s="1">
        <v>9788</v>
      </c>
      <c r="F75" s="3">
        <f t="shared" si="5"/>
        <v>7.1013988043415175</v>
      </c>
      <c r="G75" s="1">
        <f t="shared" si="6"/>
        <v>-5261</v>
      </c>
      <c r="H75" s="3">
        <f t="shared" si="7"/>
        <v>-38.169655812873643</v>
      </c>
      <c r="I75" s="1">
        <v>15518</v>
      </c>
      <c r="J75" s="1" t="s">
        <v>68</v>
      </c>
    </row>
    <row r="76" spans="1:10" x14ac:dyDescent="0.3">
      <c r="A76" s="1" t="s">
        <v>69</v>
      </c>
      <c r="B76" s="1">
        <v>201151</v>
      </c>
      <c r="C76" s="1">
        <v>3398</v>
      </c>
      <c r="D76" s="3">
        <f t="shared" si="4"/>
        <v>1.6892782039363463</v>
      </c>
      <c r="E76" s="1">
        <v>14641</v>
      </c>
      <c r="F76" s="3">
        <f t="shared" si="5"/>
        <v>7.2786115902978361</v>
      </c>
      <c r="G76" s="1">
        <f t="shared" si="6"/>
        <v>-11243</v>
      </c>
      <c r="H76" s="3">
        <f t="shared" si="7"/>
        <v>-55.893333863614899</v>
      </c>
      <c r="I76" s="1">
        <v>28574</v>
      </c>
      <c r="J76" s="1" t="s">
        <v>69</v>
      </c>
    </row>
    <row r="77" spans="1:10" x14ac:dyDescent="0.3">
      <c r="A77" s="1" t="s">
        <v>70</v>
      </c>
      <c r="B77" s="1">
        <v>883587</v>
      </c>
      <c r="C77" s="1">
        <v>50764</v>
      </c>
      <c r="D77" s="3">
        <f t="shared" si="4"/>
        <v>5.7452180713387593</v>
      </c>
      <c r="E77" s="1">
        <v>19507</v>
      </c>
      <c r="F77" s="3">
        <f t="shared" si="5"/>
        <v>2.2077056362305014</v>
      </c>
      <c r="G77" s="1">
        <f t="shared" si="6"/>
        <v>31257</v>
      </c>
      <c r="H77" s="3">
        <f t="shared" si="7"/>
        <v>35.375124351082576</v>
      </c>
      <c r="I77" s="1">
        <v>110328</v>
      </c>
      <c r="J77" s="1" t="s">
        <v>70</v>
      </c>
    </row>
    <row r="78" spans="1:10" x14ac:dyDescent="0.3">
      <c r="A78" s="1" t="s">
        <v>71</v>
      </c>
      <c r="B78" s="1">
        <v>501059</v>
      </c>
      <c r="C78" s="1">
        <v>26235</v>
      </c>
      <c r="D78" s="3">
        <f t="shared" si="4"/>
        <v>5.2359103418958641</v>
      </c>
      <c r="E78" s="1">
        <v>11174</v>
      </c>
      <c r="F78" s="3">
        <f t="shared" si="5"/>
        <v>2.2300766975545794</v>
      </c>
      <c r="G78" s="1">
        <f t="shared" si="6"/>
        <v>15061</v>
      </c>
      <c r="H78" s="3">
        <f t="shared" si="7"/>
        <v>30.058336443412852</v>
      </c>
      <c r="I78" s="1">
        <v>66235</v>
      </c>
      <c r="J78" s="1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Migration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Jibesh Acharya</cp:lastModifiedBy>
  <dcterms:created xsi:type="dcterms:W3CDTF">2026-05-12T09:01:33Z</dcterms:created>
  <dcterms:modified xsi:type="dcterms:W3CDTF">2026-05-25T05:49:05Z</dcterms:modified>
</cp:coreProperties>
</file>